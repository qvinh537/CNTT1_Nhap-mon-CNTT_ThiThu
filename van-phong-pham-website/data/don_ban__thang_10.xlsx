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72" windowHeight="10440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<sst xmlns="http://schemas.openxmlformats.org/spreadsheetml/2006/main" count="69" uniqueCount="51">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</sst>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zoomScaleSheetLayoutView="60" workbookViewId="0">
      <selection activeCell="I10" sqref="I10"/>
    </sheetView>
  </sheetViews>
  <sheetFormatPr defaultColWidth="10" defaultRowHeight="14.4" outlineLevelCol="6"/>
  <cols>
    <col min="1" max="1" width="7.22222222222222" customWidth="1"/>
    <col min="2" max="2" width="11.1111111111111" customWidth="1"/>
    <col min="3" max="3" width="7" customWidth="1"/>
    <col min="4" max="4" width="6.88888888888889" customWidth="1"/>
    <col min="5" max="5" width="16.7777777777778" customWidth="1"/>
    <col min="6" max="6" width="8" customWidth="1"/>
    <col min="7" max="7" width="8.7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4</v>
      </c>
      <c r="E2" s="1" t="str">
        <f>VLOOKUP(C2,SanPham!$A$1:$C$16,2,0)</f>
        <v>Ke sach mini</v>
      </c>
      <c r="F2" s="1">
        <f>VLOOKUP(C2,SanPham!$A$1:$C$16,3,FALSE)</f>
        <v>100000</v>
      </c>
      <c r="G2" s="1">
        <f>D2*F2</f>
        <v>400000</v>
      </c>
    </row>
    <row r="3" spans="1:7">
      <c r="A3" s="1" t="s">
        <v>10</v>
      </c>
      <c r="B3" s="1" t="s">
        <v>11</v>
      </c>
      <c r="C3" s="1" t="s">
        <v>12</v>
      </c>
      <c r="D3" s="1">
        <v>4</v>
      </c>
      <c r="E3" s="1" t="str">
        <f>VLOOKUP(C3,SanPham!$A$1:$C$16,2,0)</f>
        <v>Balo hoc sinh</v>
      </c>
      <c r="F3" s="1">
        <f>VLOOKUP(C3,SanPham!$A$1:$C$16,3,FALSE)</f>
        <v>250000</v>
      </c>
      <c r="G3" s="1">
        <f t="shared" ref="G3:G16" si="0">D3*F3</f>
        <v>1000000</v>
      </c>
    </row>
    <row r="4" hidden="1" spans="1:7">
      <c r="A4" s="1" t="s">
        <v>13</v>
      </c>
      <c r="B4" s="1" t="s">
        <v>14</v>
      </c>
      <c r="C4" s="1" t="s">
        <v>15</v>
      </c>
      <c r="D4" s="1">
        <v>2</v>
      </c>
      <c r="E4" s="1" t="str">
        <f>VLOOKUP(C4,SanPham!$A$1:$C$16,2,0)</f>
        <v>Loc vo 5 quyen</v>
      </c>
      <c r="F4" s="1">
        <f>VLOOKUP(C4,SanPham!$A$1:$C$16,3,FALSE)</f>
        <v>60000</v>
      </c>
      <c r="G4" s="1">
        <f t="shared" si="0"/>
        <v>120000</v>
      </c>
    </row>
    <row r="5" spans="1:7">
      <c r="A5" s="1" t="s">
        <v>16</v>
      </c>
      <c r="B5" s="1" t="s">
        <v>17</v>
      </c>
      <c r="C5" s="1" t="s">
        <v>9</v>
      </c>
      <c r="D5" s="1">
        <v>5</v>
      </c>
      <c r="E5" s="1" t="str">
        <f>VLOOKUP(C5,SanPham!$A$1:$C$16,2,0)</f>
        <v>Ke sach mini</v>
      </c>
      <c r="F5" s="1">
        <f>VLOOKUP(C5,SanPham!$A$1:$C$16,3,FALSE)</f>
        <v>100000</v>
      </c>
      <c r="G5" s="1">
        <f t="shared" si="0"/>
        <v>500000</v>
      </c>
    </row>
    <row r="6" hidden="1" spans="1:7">
      <c r="A6" s="1" t="s">
        <v>18</v>
      </c>
      <c r="B6" s="1" t="s">
        <v>19</v>
      </c>
      <c r="C6" s="1" t="s">
        <v>20</v>
      </c>
      <c r="D6" s="1">
        <v>1</v>
      </c>
      <c r="E6" s="1" t="str">
        <f>VLOOKUP(C6,SanPham!$A$1:$C$16,2,0)</f>
        <v>Bo but bi 10 chiec</v>
      </c>
      <c r="F6" s="1">
        <f>VLOOKUP(C6,SanPham!$A$1:$C$16,3,FALSE)</f>
        <v>35000</v>
      </c>
      <c r="G6" s="1">
        <f t="shared" si="0"/>
        <v>35000</v>
      </c>
    </row>
    <row r="7" hidden="1" spans="1:7">
      <c r="A7" s="1" t="s">
        <v>21</v>
      </c>
      <c r="B7" s="1" t="s">
        <v>22</v>
      </c>
      <c r="C7" s="1" t="s">
        <v>20</v>
      </c>
      <c r="D7" s="1">
        <v>4</v>
      </c>
      <c r="E7" s="1" t="str">
        <f>VLOOKUP(C7,SanPham!$A$1:$C$16,2,0)</f>
        <v>Bo but bi 10 chiec</v>
      </c>
      <c r="F7" s="1">
        <f>VLOOKUP(C7,SanPham!$A$1:$C$16,3,FALSE)</f>
        <v>35000</v>
      </c>
      <c r="G7" s="1">
        <f t="shared" si="0"/>
        <v>140000</v>
      </c>
    </row>
    <row r="8" spans="1:7">
      <c r="A8" s="1" t="s">
        <v>23</v>
      </c>
      <c r="B8" s="1" t="s">
        <v>24</v>
      </c>
      <c r="C8" s="1" t="s">
        <v>12</v>
      </c>
      <c r="D8" s="1">
        <v>5</v>
      </c>
      <c r="E8" s="1" t="str">
        <f>VLOOKUP(C8,SanPham!$A$1:$C$16,2,0)</f>
        <v>Balo hoc sinh</v>
      </c>
      <c r="F8" s="1">
        <f>VLOOKUP(C8,SanPham!$A$1:$C$16,3,FALSE)</f>
        <v>250000</v>
      </c>
      <c r="G8" s="1">
        <f t="shared" si="0"/>
        <v>1250000</v>
      </c>
    </row>
    <row r="9" hidden="1" spans="1:7">
      <c r="A9" s="1" t="s">
        <v>25</v>
      </c>
      <c r="B9" s="1" t="s">
        <v>26</v>
      </c>
      <c r="C9" s="1" t="s">
        <v>15</v>
      </c>
      <c r="D9" s="1">
        <v>3</v>
      </c>
      <c r="E9" s="1" t="str">
        <f>VLOOKUP(C9,SanPham!$A$1:$C$16,2,0)</f>
        <v>Loc vo 5 quyen</v>
      </c>
      <c r="F9" s="1">
        <f>VLOOKUP(C9,SanPham!$A$1:$C$16,3,FALSE)</f>
        <v>60000</v>
      </c>
      <c r="G9" s="1">
        <f t="shared" si="0"/>
        <v>180000</v>
      </c>
    </row>
    <row r="10" spans="1:7">
      <c r="A10" s="1" t="s">
        <v>27</v>
      </c>
      <c r="B10" s="1" t="s">
        <v>28</v>
      </c>
      <c r="C10" s="1" t="s">
        <v>12</v>
      </c>
      <c r="D10" s="1">
        <v>2</v>
      </c>
      <c r="E10" s="1" t="str">
        <f>VLOOKUP(C10,SanPham!$A$1:$C$16,2,0)</f>
        <v>Balo hoc sinh</v>
      </c>
      <c r="F10" s="1">
        <f>VLOOKUP(C10,SanPham!$A$1:$C$16,3,FALSE)</f>
        <v>250000</v>
      </c>
      <c r="G10" s="1">
        <f t="shared" si="0"/>
        <v>500000</v>
      </c>
    </row>
    <row r="11" spans="1:7">
      <c r="A11" s="1" t="s">
        <v>29</v>
      </c>
      <c r="B11" s="1" t="s">
        <v>30</v>
      </c>
      <c r="C11" s="1" t="s">
        <v>31</v>
      </c>
      <c r="D11" s="1">
        <v>2</v>
      </c>
      <c r="E11" s="1" t="str">
        <f>VLOOKUP(C11,SanPham!$A$1:$C$16,2,0)</f>
        <v>May tinh bo tui</v>
      </c>
      <c r="F11" s="1">
        <f>VLOOKUP(C11,SanPham!$A$1:$C$16,3,FALSE)</f>
        <v>150000</v>
      </c>
      <c r="G11" s="1">
        <f t="shared" si="0"/>
        <v>300000</v>
      </c>
    </row>
    <row r="12" hidden="1" spans="1:7">
      <c r="A12" s="1" t="s">
        <v>32</v>
      </c>
      <c r="B12" s="1" t="s">
        <v>33</v>
      </c>
      <c r="C12" s="1" t="s">
        <v>34</v>
      </c>
      <c r="D12" s="1">
        <v>2</v>
      </c>
      <c r="E12" s="1" t="str">
        <f>VLOOKUP(C12,SanPham!$A$1:$C$16,2,0)</f>
        <v>Giay A4 500 to</v>
      </c>
      <c r="F12" s="1">
        <f>VLOOKUP(C12,SanPham!$A$1:$C$16,3,FALSE)</f>
        <v>75000</v>
      </c>
      <c r="G12" s="1">
        <f t="shared" si="0"/>
        <v>150000</v>
      </c>
    </row>
    <row r="13" hidden="1" spans="1:7">
      <c r="A13" s="1" t="s">
        <v>35</v>
      </c>
      <c r="B13" s="1" t="s">
        <v>36</v>
      </c>
      <c r="C13" s="1" t="s">
        <v>15</v>
      </c>
      <c r="D13" s="1">
        <v>3</v>
      </c>
      <c r="E13" s="1" t="str">
        <f>VLOOKUP(C13,SanPham!$A$1:$C$16,2,0)</f>
        <v>Loc vo 5 quyen</v>
      </c>
      <c r="F13" s="1">
        <f>VLOOKUP(C13,SanPham!$A$1:$C$16,3,FALSE)</f>
        <v>60000</v>
      </c>
      <c r="G13" s="1">
        <f t="shared" si="0"/>
        <v>180000</v>
      </c>
    </row>
    <row r="14" hidden="1" spans="1:7">
      <c r="A14" s="1" t="s">
        <v>37</v>
      </c>
      <c r="B14" s="1" t="s">
        <v>38</v>
      </c>
      <c r="C14" s="1" t="s">
        <v>20</v>
      </c>
      <c r="D14" s="1">
        <v>5</v>
      </c>
      <c r="E14" s="1" t="str">
        <f>VLOOKUP(C14,SanPham!$A$1:$C$16,2,0)</f>
        <v>Bo but bi 10 chiec</v>
      </c>
      <c r="F14" s="1">
        <f>VLOOKUP(C14,SanPham!$A$1:$C$16,3,FALSE)</f>
        <v>35000</v>
      </c>
      <c r="G14" s="1">
        <f t="shared" si="0"/>
        <v>175000</v>
      </c>
    </row>
    <row r="15" spans="1:7">
      <c r="A15" s="1" t="s">
        <v>39</v>
      </c>
      <c r="B15" s="1" t="s">
        <v>40</v>
      </c>
      <c r="C15" s="1" t="s">
        <v>9</v>
      </c>
      <c r="D15" s="1">
        <v>4</v>
      </c>
      <c r="E15" s="1" t="str">
        <f>VLOOKUP(C15,SanPham!$A$1:$C$16,2,0)</f>
        <v>Ke sach mini</v>
      </c>
      <c r="F15" s="1">
        <f>VLOOKUP(C15,SanPham!$A$1:$C$16,3,FALSE)</f>
        <v>100000</v>
      </c>
      <c r="G15" s="1">
        <f t="shared" si="0"/>
        <v>400000</v>
      </c>
    </row>
    <row r="16" hidden="1" spans="1:7">
      <c r="A16" s="1" t="s">
        <v>41</v>
      </c>
      <c r="B16" s="1" t="s">
        <v>42</v>
      </c>
      <c r="C16" s="1" t="s">
        <v>43</v>
      </c>
      <c r="D16" s="1">
        <v>5</v>
      </c>
      <c r="E16" s="1" t="str">
        <f>VLOOKUP(C16,SanPham!$A$1:$C$16,2,0)</f>
        <v>Hop but da nang</v>
      </c>
      <c r="F16" s="1">
        <f>VLOOKUP(C16,SanPham!$A$1:$C$16,3,FALSE)</f>
        <v>45000</v>
      </c>
      <c r="G16" s="1">
        <f t="shared" si="0"/>
        <v>225000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15" sqref="C15"/>
    </sheetView>
  </sheetViews>
  <sheetFormatPr defaultColWidth="8.88888888888889" defaultRowHeight="14.4" outlineLevelRow="7" outlineLevelCol="2"/>
  <sheetData>
    <row r="1" spans="1:3">
      <c r="A1" s="1" t="s">
        <v>2</v>
      </c>
      <c r="B1" s="1" t="s">
        <v>4</v>
      </c>
      <c r="C1" s="1" t="s">
        <v>5</v>
      </c>
    </row>
    <row r="2" spans="1:3">
      <c r="A2" s="1" t="s">
        <v>20</v>
      </c>
      <c r="B2" s="1" t="s">
        <v>44</v>
      </c>
      <c r="C2" s="1">
        <v>35000</v>
      </c>
    </row>
    <row r="3" spans="1:3">
      <c r="A3" s="1" t="s">
        <v>15</v>
      </c>
      <c r="B3" s="1" t="s">
        <v>45</v>
      </c>
      <c r="C3" s="1">
        <v>60000</v>
      </c>
    </row>
    <row r="4" spans="1:3">
      <c r="A4" s="1" t="s">
        <v>34</v>
      </c>
      <c r="B4" s="1" t="s">
        <v>46</v>
      </c>
      <c r="C4" s="1">
        <v>75000</v>
      </c>
    </row>
    <row r="5" spans="1:3">
      <c r="A5" s="1" t="s">
        <v>12</v>
      </c>
      <c r="B5" s="1" t="s">
        <v>47</v>
      </c>
      <c r="C5" s="1">
        <v>250000</v>
      </c>
    </row>
    <row r="6" spans="1:3">
      <c r="A6" s="1" t="s">
        <v>31</v>
      </c>
      <c r="B6" s="1" t="s">
        <v>48</v>
      </c>
      <c r="C6" s="1">
        <v>150000</v>
      </c>
    </row>
    <row r="7" spans="1:3">
      <c r="A7" s="1" t="s">
        <v>9</v>
      </c>
      <c r="B7" s="1" t="s">
        <v>49</v>
      </c>
      <c r="C7" s="1">
        <v>100000</v>
      </c>
    </row>
    <row r="8" spans="1:3">
      <c r="A8" s="1" t="s">
        <v>43</v>
      </c>
      <c r="B8" s="1" t="s">
        <v>50</v>
      </c>
      <c r="C8" s="1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Phạm</cp:lastModifiedBy>
  <dcterms:created xsi:type="dcterms:W3CDTF">2026-10-23T02:26:00Z</dcterms:created>
  <dcterms:modified xsi:type="dcterms:W3CDTF">2026-10-23T03:02:46Z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F972857959EF408CA46024DFB94A215C_13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